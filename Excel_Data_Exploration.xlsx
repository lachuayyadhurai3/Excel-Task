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2"/>
  </bookViews>
  <sheets>
    <sheet name="Dataset" sheetId="1" r:id="rId1"/>
    <sheet name="Copy_of_Dataset" sheetId="3" r:id="rId2"/>
    <sheet name="Assignment" sheetId="2" r:id="rId3"/>
  </sheets>
  <calcPr calcId="144525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K10" i="2" l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K37" i="2"/>
  <c r="K36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K18" i="2"/>
  <c r="K17" i="2"/>
  <c r="K9" i="2"/>
  <c r="K8" i="2"/>
</calcChain>
</file>

<file path=xl/sharedStrings.xml><?xml version="1.0" encoding="utf-8"?>
<sst xmlns="http://schemas.openxmlformats.org/spreadsheetml/2006/main" count="332" uniqueCount="127">
  <si>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</si>
  <si>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</si>
  <si>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</si>
  <si>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</si>
  <si>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</si>
  <si>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</si>
  <si>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</si>
  <si>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</si>
  <si>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</si>
  <si>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</si>
  <si>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</si>
  <si>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</si>
  <si>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</si>
  <si>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</si>
  <si>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</si>
  <si>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</si>
  <si>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</si>
  <si>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</si>
  <si>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</si>
  <si>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</si>
  <si>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</si>
  <si>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</si>
  <si>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</si>
  <si>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</si>
  <si>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</si>
  <si>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</si>
  <si>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</si>
  <si>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</si>
  <si>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</si>
  <si>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</si>
  <si>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</si>
  <si>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</si>
  <si>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</si>
  <si>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</si>
  <si>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</si>
  <si>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</si>
  <si>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</si>
  <si>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</si>
  <si>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</si>
  <si>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</si>
  <si>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</si>
  <si>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</si>
  <si>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</si>
  <si>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</si>
  <si>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</si>
  <si>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</si>
  <si>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</si>
  <si>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</si>
  <si>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</si>
  <si>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</si>
  <si>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</si>
  <si>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</si>
  <si>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</si>
  <si>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</si>
  <si>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</si>
  <si>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</si>
  <si>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</si>
  <si>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</si>
  <si>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</si>
  <si>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</si>
  <si>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</si>
  <si>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</si>
  <si>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</si>
  <si>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</si>
  <si>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</si>
  <si>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</si>
  <si>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</si>
  <si>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</si>
  <si>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</si>
  <si>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</si>
  <si>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</si>
  <si>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</si>
  <si>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</si>
  <si>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</si>
  <si>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</si>
  <si>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</si>
  <si>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</si>
  <si>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</si>
  <si>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</si>
  <si>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</si>
  <si>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</si>
  <si>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</si>
  <si>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</si>
  <si>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</si>
  <si>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</si>
  <si>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</si>
  <si>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</si>
  <si>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</si>
  <si>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</si>
  <si>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</si>
  <si>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</si>
  <si>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</si>
  <si>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</si>
  <si>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Basic Data Exploration</t>
  </si>
  <si>
    <t>1. Sum, Count, and Average</t>
  </si>
  <si>
    <t>Perform the following calculations using Excel functions:</t>
  </si>
  <si>
    <t>SI.NO</t>
  </si>
  <si>
    <t>Question</t>
  </si>
  <si>
    <t>Solution</t>
  </si>
  <si>
    <t>Calculate the total price of all products in the dataset</t>
  </si>
  <si>
    <t>Using Excel functions:</t>
  </si>
  <si>
    <t>Determine how many products exist in the dataset</t>
  </si>
  <si>
    <t>Calculate the average price of the products</t>
  </si>
  <si>
    <t>Identify the minimum price among all products</t>
  </si>
  <si>
    <t>Identify the maximum price among all products</t>
  </si>
  <si>
    <t>2. Minimum and Maximum Values</t>
  </si>
  <si>
    <t>3. Logical Function – IF</t>
  </si>
  <si>
    <t>Create a new column named Price Range.</t>
  </si>
  <si>
    <t>Use the IF function to categorize products based on their price:</t>
  </si>
  <si>
    <t>If Price ≥ $500 → classify as High Price</t>
  </si>
  <si>
    <t>If Price &lt; $500 → classify as Standard Price</t>
  </si>
  <si>
    <t>Price Range</t>
  </si>
  <si>
    <t>4. Conditional Functions – SUMIF and COUNTIF</t>
  </si>
  <si>
    <t>Perform the following conditional calculations:</t>
  </si>
  <si>
    <t>Use the SUMIF function to calculate the total price of products in the Electronics category.</t>
  </si>
  <si>
    <t>Use the COUNTIF function to determine the number of products with a price less than $100.</t>
  </si>
  <si>
    <t>5. Text Formatting – LEFT, RIGHT, MID</t>
  </si>
  <si>
    <t>Use text functions to extract information from the Product ID column</t>
  </si>
  <si>
    <t>Create the following new columns:</t>
  </si>
  <si>
    <t>Create a new column named Day with the first 2 characters of each 'Product ID' using the LEFT function.</t>
  </si>
  <si>
    <t>Create a new column named Country Code by extracting the last 2 characters from the 'Product ID' column using the RIGHT function.</t>
  </si>
  <si>
    <t>Create a new column named Month by extracting the 4th to 6th characters from the 'Product ID' column using the MID function.</t>
  </si>
  <si>
    <t>Please refer Copy_of_Dataset sheet</t>
  </si>
  <si>
    <t>Refer Copy_of_Dataset Sheet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</si>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</sst>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8"/>
      <color theme="8" tint="-0.249977111117893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22"/>
      <color rgb="FF000000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0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6" fillId="5" borderId="0" xfId="0" applyFont="1" applyFill="1" applyAlignment="1"/>
    <xf numFmtId="0" fontId="8" fillId="7" borderId="0" xfId="0" applyFont="1" applyFill="1" applyAlignment="1">
      <alignment horizontal="center"/>
    </xf>
    <xf numFmtId="0" fontId="8" fillId="0" borderId="0" xfId="0" applyFont="1" applyFill="1" applyAlignment="1"/>
    <xf numFmtId="0" fontId="3" fillId="0" borderId="0" xfId="0" applyFont="1" applyFill="1" applyAlignment="1"/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5" borderId="6" xfId="0" applyFont="1" applyFill="1" applyBorder="1" applyAlignment="1"/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0" fillId="0" borderId="15" xfId="0" applyFont="1" applyBorder="1" applyAlignment="1"/>
    <xf numFmtId="0" fontId="6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5" fillId="5" borderId="0" xfId="0" applyFont="1" applyFill="1" applyAlignment="1"/>
    <xf numFmtId="0" fontId="9" fillId="8" borderId="0" xfId="0" applyFont="1" applyFill="1" applyAlignment="1"/>
    <xf numFmtId="0" fontId="10" fillId="0" borderId="0" xfId="0" applyFont="1" applyFill="1" applyAlignment="1"/>
    <xf numFmtId="0" fontId="7" fillId="3" borderId="0" xfId="0" applyFont="1" applyFill="1"/>
    <xf numFmtId="0" fontId="7" fillId="3" borderId="0" xfId="0" applyFont="1" applyFill="1" applyAlignment="1"/>
    <xf numFmtId="0" fontId="1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7" fillId="0" borderId="0" xfId="0" applyFont="1"/>
    <xf numFmtId="0" fontId="7" fillId="3" borderId="0" xfId="0" applyNumberFormat="1" applyFont="1" applyFill="1" applyAlignment="1"/>
    <xf numFmtId="0" fontId="0" fillId="0" borderId="16" xfId="0" applyFont="1" applyBorder="1" applyAlignment="1"/>
    <xf numFmtId="0" fontId="6" fillId="0" borderId="17" xfId="0" applyFont="1" applyBorder="1" applyAlignment="1">
      <alignment horizontal="left"/>
    </xf>
    <xf numFmtId="0" fontId="6" fillId="0" borderId="10" xfId="0" applyFont="1" applyBorder="1" applyAlignment="1">
      <alignment wrapText="1"/>
    </xf>
    <xf numFmtId="0" fontId="7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ales_DB" displayName="Sales_DB" ref="A1:J36" totalsRowCount="1" headerRowDxfId="14" dataDxfId="15">
  <autoFilter ref="A1:J36"/>
  <tableColumns count="10">
    <tableColumn id="1" name="Product ID" dataDxfId="21" totalsRowDxfId="12"/>
    <tableColumn id="2" name="Product Name" dataDxfId="20" totalsRowDxfId="11"/>
    <tableColumn id="3" name="Brand Name" dataDxfId="19" totalsRowDxfId="10"/>
    <tableColumn id="4" name="Price ($)" dataDxfId="18" totalsRowDxfId="9"/>
    <tableColumn id="5" name="Quantity" dataDxfId="17" totalsRowDxfId="8"/>
    <tableColumn id="6" name="Category" dataDxfId="16" totalsRowDxfId="7"/>
    <tableColumn id="7" name="Price Range" dataDxfId="13" totalsRowDxfId="6">
      <calculatedColumnFormula>IF(Sales_DB[Price ($)]&gt;=500,"High Price", "Standard Price")</calculatedColumnFormula>
    </tableColumn>
    <tableColumn id="11" name="Day" dataDxfId="4" totalsRowDxfId="5">
      <calculatedColumnFormula>LEFT(Sales_DB[[#This Row],[Product ID]],2)</calculatedColumnFormula>
    </tableColumn>
    <tableColumn id="12" name="Country Code" dataDxfId="2" totalsRowDxfId="3">
      <calculatedColumnFormula>RIGHT(Sales_DB[[#This Row],[Product ID]],2)</calculatedColumnFormula>
    </tableColumn>
    <tableColumn id="13" name="Month" dataDxfId="1" totalsRowDxfId="0">
      <calculatedColumnFormula>MID(Sales_DB[[#This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opLeftCell="A16" workbookViewId="0">
      <selection sqref="A1:F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K10" sqref="K10"/>
    </sheetView>
  </sheetViews>
  <sheetFormatPr defaultColWidth="12.5703125" defaultRowHeight="12.75" x14ac:dyDescent="0.2"/>
  <cols>
    <col min="2" max="2" width="16" customWidth="1"/>
    <col min="3" max="3" width="14.42578125" customWidth="1"/>
    <col min="7" max="7" width="19" customWidth="1"/>
    <col min="8" max="8" width="15.28515625" style="6" customWidth="1"/>
    <col min="9" max="9" width="19.5703125" style="44" customWidth="1"/>
    <col min="10" max="10" width="21.5703125" style="44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3" t="s">
        <v>111</v>
      </c>
      <c r="H1" s="34" t="s">
        <v>124</v>
      </c>
      <c r="I1" s="41" t="s">
        <v>126</v>
      </c>
      <c r="J1" s="45" t="s">
        <v>125</v>
      </c>
    </row>
    <row r="2" spans="1:10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5" t="s">
        <v>9</v>
      </c>
      <c r="G2" s="31" t="str">
        <f>IF(Sales_DB[Price ($)]&gt;=500,"High Price", "Standard Price")</f>
        <v>High Price</v>
      </c>
      <c r="H2" s="40" t="str">
        <f>LEFT(Sales_DB[[#This Row],[Product ID]],2)</f>
        <v>28</v>
      </c>
      <c r="I2" s="42" t="str">
        <f>RIGHT(Sales_DB[[#This Row],[Product ID]],2)</f>
        <v>US</v>
      </c>
      <c r="J2" s="46" t="str">
        <f>MID(Sales_DB[[#This Row],[Product ID]],4,3)</f>
        <v>JAN</v>
      </c>
    </row>
    <row r="3" spans="1:10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1" t="str">
        <f>IF(Sales_DB[Price ($)]&gt;=500,"High Price", "Standard Price")</f>
        <v>Standard Price</v>
      </c>
      <c r="H3" s="40" t="str">
        <f>LEFT(Sales_DB[[#This Row],[Product ID]],2)</f>
        <v>15</v>
      </c>
      <c r="I3" s="42" t="str">
        <f>RIGHT(Sales_DB[[#This Row],[Product ID]],2)</f>
        <v>US</v>
      </c>
      <c r="J3" s="46" t="str">
        <f>MID(Sales_DB[[#This Row],[Product ID]],4,3)</f>
        <v>FEB</v>
      </c>
    </row>
    <row r="4" spans="1:10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1" t="str">
        <f>IF(Sales_DB[Price ($)]&gt;=500,"High Price", "Standard Price")</f>
        <v>Standard Price</v>
      </c>
      <c r="H4" s="40" t="str">
        <f>LEFT(Sales_DB[[#This Row],[Product ID]],2)</f>
        <v>03</v>
      </c>
      <c r="I4" s="42" t="str">
        <f>RIGHT(Sales_DB[[#This Row],[Product ID]],2)</f>
        <v>US</v>
      </c>
      <c r="J4" s="46" t="str">
        <f>MID(Sales_DB[[#This Row],[Product ID]],4,3)</f>
        <v>MAR</v>
      </c>
    </row>
    <row r="5" spans="1:10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1" t="str">
        <f>IF(Sales_DB[Price ($)]&gt;=500,"High Price", "Standard Price")</f>
        <v>High Price</v>
      </c>
      <c r="H5" s="40" t="str">
        <f>LEFT(Sales_DB[[#This Row],[Product ID]],2)</f>
        <v>11</v>
      </c>
      <c r="I5" s="42" t="str">
        <f>RIGHT(Sales_DB[[#This Row],[Product ID]],2)</f>
        <v>US</v>
      </c>
      <c r="J5" s="46" t="str">
        <f>MID(Sales_DB[[#This Row],[Product ID]],4,3)</f>
        <v>APR</v>
      </c>
    </row>
    <row r="6" spans="1:10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1" t="str">
        <f>IF(Sales_DB[Price ($)]&gt;=500,"High Price", "Standard Price")</f>
        <v>Standard Price</v>
      </c>
      <c r="H6" s="40" t="str">
        <f>LEFT(Sales_DB[[#This Row],[Product ID]],2)</f>
        <v>22</v>
      </c>
      <c r="I6" s="42" t="str">
        <f>RIGHT(Sales_DB[[#This Row],[Product ID]],2)</f>
        <v>US</v>
      </c>
      <c r="J6" s="46" t="str">
        <f>MID(Sales_DB[[#This Row],[Product ID]],4,3)</f>
        <v>MAY</v>
      </c>
    </row>
    <row r="7" spans="1:10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1" t="str">
        <f>IF(Sales_DB[Price ($)]&gt;=500,"High Price", "Standard Price")</f>
        <v>Standard Price</v>
      </c>
      <c r="H7" s="40" t="str">
        <f>LEFT(Sales_DB[[#This Row],[Product ID]],2)</f>
        <v>07</v>
      </c>
      <c r="I7" s="42" t="str">
        <f>RIGHT(Sales_DB[[#This Row],[Product ID]],2)</f>
        <v>UK</v>
      </c>
      <c r="J7" s="46" t="str">
        <f>MID(Sales_DB[[#This Row],[Product ID]],4,3)</f>
        <v>JUN</v>
      </c>
    </row>
    <row r="8" spans="1:10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1" t="str">
        <f>IF(Sales_DB[Price ($)]&gt;=500,"High Price", "Standard Price")</f>
        <v>Standard Price</v>
      </c>
      <c r="H8" s="40" t="str">
        <f>LEFT(Sales_DB[[#This Row],[Product ID]],2)</f>
        <v>19</v>
      </c>
      <c r="I8" s="42" t="str">
        <f>RIGHT(Sales_DB[[#This Row],[Product ID]],2)</f>
        <v>UK</v>
      </c>
      <c r="J8" s="46" t="str">
        <f>MID(Sales_DB[[#This Row],[Product ID]],4,3)</f>
        <v>JUL</v>
      </c>
    </row>
    <row r="9" spans="1:10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1" t="str">
        <f>IF(Sales_DB[Price ($)]&gt;=500,"High Price", "Standard Price")</f>
        <v>Standard Price</v>
      </c>
      <c r="H9" s="40" t="str">
        <f>LEFT(Sales_DB[[#This Row],[Product ID]],2)</f>
        <v>23</v>
      </c>
      <c r="I9" s="42" t="str">
        <f>RIGHT(Sales_DB[[#This Row],[Product ID]],2)</f>
        <v>UK</v>
      </c>
      <c r="J9" s="46" t="str">
        <f>MID(Sales_DB[[#This Row],[Product ID]],4,3)</f>
        <v>AUG</v>
      </c>
    </row>
    <row r="10" spans="1:10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1" t="str">
        <f>IF(Sales_DB[Price ($)]&gt;=500,"High Price", "Standard Price")</f>
        <v>High Price</v>
      </c>
      <c r="H10" s="40" t="str">
        <f>LEFT(Sales_DB[[#This Row],[Product ID]],2)</f>
        <v>05</v>
      </c>
      <c r="I10" s="42" t="str">
        <f>RIGHT(Sales_DB[[#This Row],[Product ID]],2)</f>
        <v>UK</v>
      </c>
      <c r="J10" s="46" t="str">
        <f>MID(Sales_DB[[#This Row],[Product ID]],4,3)</f>
        <v>SEP</v>
      </c>
    </row>
    <row r="11" spans="1:10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1" t="str">
        <f>IF(Sales_DB[Price ($)]&gt;=500,"High Price", "Standard Price")</f>
        <v>Standard Price</v>
      </c>
      <c r="H11" s="40" t="str">
        <f>LEFT(Sales_DB[[#This Row],[Product ID]],2)</f>
        <v>14</v>
      </c>
      <c r="I11" s="42" t="str">
        <f>RIGHT(Sales_DB[[#This Row],[Product ID]],2)</f>
        <v>UK</v>
      </c>
      <c r="J11" s="46" t="str">
        <f>MID(Sales_DB[[#This Row],[Product ID]],4,3)</f>
        <v>OCT</v>
      </c>
    </row>
    <row r="12" spans="1:10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1" t="str">
        <f>IF(Sales_DB[Price ($)]&gt;=500,"High Price", "Standard Price")</f>
        <v>High Price</v>
      </c>
      <c r="H12" s="40" t="str">
        <f>LEFT(Sales_DB[[#This Row],[Product ID]],2)</f>
        <v>17</v>
      </c>
      <c r="I12" s="42" t="str">
        <f>RIGHT(Sales_DB[[#This Row],[Product ID]],2)</f>
        <v>IN</v>
      </c>
      <c r="J12" s="46" t="str">
        <f>MID(Sales_DB[[#This Row],[Product ID]],4,3)</f>
        <v>JUN</v>
      </c>
    </row>
    <row r="13" spans="1:10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1" t="str">
        <f>IF(Sales_DB[Price ($)]&gt;=500,"High Price", "Standard Price")</f>
        <v>Standard Price</v>
      </c>
      <c r="H13" s="40" t="str">
        <f>LEFT(Sales_DB[[#This Row],[Product ID]],2)</f>
        <v>25</v>
      </c>
      <c r="I13" s="42" t="str">
        <f>RIGHT(Sales_DB[[#This Row],[Product ID]],2)</f>
        <v>AU</v>
      </c>
      <c r="J13" s="46" t="str">
        <f>MID(Sales_DB[[#This Row],[Product ID]],4,3)</f>
        <v>NOV</v>
      </c>
    </row>
    <row r="14" spans="1:10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1" t="str">
        <f>IF(Sales_DB[Price ($)]&gt;=500,"High Price", "Standard Price")</f>
        <v>Standard Price</v>
      </c>
      <c r="H14" s="40" t="str">
        <f>LEFT(Sales_DB[[#This Row],[Product ID]],2)</f>
        <v>08</v>
      </c>
      <c r="I14" s="42" t="str">
        <f>RIGHT(Sales_DB[[#This Row],[Product ID]],2)</f>
        <v>DE</v>
      </c>
      <c r="J14" s="46" t="str">
        <f>MID(Sales_DB[[#This Row],[Product ID]],4,3)</f>
        <v>DEC</v>
      </c>
    </row>
    <row r="15" spans="1:10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1" t="str">
        <f>IF(Sales_DB[Price ($)]&gt;=500,"High Price", "Standard Price")</f>
        <v>Standard Price</v>
      </c>
      <c r="H15" s="40" t="str">
        <f>LEFT(Sales_DB[[#This Row],[Product ID]],2)</f>
        <v>18</v>
      </c>
      <c r="I15" s="42" t="str">
        <f>RIGHT(Sales_DB[[#This Row],[Product ID]],2)</f>
        <v>CA</v>
      </c>
      <c r="J15" s="46" t="str">
        <f>MID(Sales_DB[[#This Row],[Product ID]],4,3)</f>
        <v>FEB</v>
      </c>
    </row>
    <row r="16" spans="1:10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1" t="str">
        <f>IF(Sales_DB[Price ($)]&gt;=500,"High Price", "Standard Price")</f>
        <v>Standard Price</v>
      </c>
      <c r="H16" s="40" t="str">
        <f>LEFT(Sales_DB[[#This Row],[Product ID]],2)</f>
        <v>16</v>
      </c>
      <c r="I16" s="42" t="str">
        <f>RIGHT(Sales_DB[[#This Row],[Product ID]],2)</f>
        <v>ES</v>
      </c>
      <c r="J16" s="46" t="str">
        <f>MID(Sales_DB[[#This Row],[Product ID]],4,3)</f>
        <v>APR</v>
      </c>
    </row>
    <row r="17" spans="1:10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1" t="str">
        <f>IF(Sales_DB[Price ($)]&gt;=500,"High Price", "Standard Price")</f>
        <v>Standard Price</v>
      </c>
      <c r="H17" s="40" t="str">
        <f>LEFT(Sales_DB[[#This Row],[Product ID]],2)</f>
        <v>21</v>
      </c>
      <c r="I17" s="42" t="str">
        <f>RIGHT(Sales_DB[[#This Row],[Product ID]],2)</f>
        <v>CA</v>
      </c>
      <c r="J17" s="46" t="str">
        <f>MID(Sales_DB[[#This Row],[Product ID]],4,3)</f>
        <v>AUG</v>
      </c>
    </row>
    <row r="18" spans="1:10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1" t="str">
        <f>IF(Sales_DB[Price ($)]&gt;=500,"High Price", "Standard Price")</f>
        <v>Standard Price</v>
      </c>
      <c r="H18" s="40" t="str">
        <f>LEFT(Sales_DB[[#This Row],[Product ID]],2)</f>
        <v>20</v>
      </c>
      <c r="I18" s="42" t="str">
        <f>RIGHT(Sales_DB[[#This Row],[Product ID]],2)</f>
        <v>CN</v>
      </c>
      <c r="J18" s="46" t="str">
        <f>MID(Sales_DB[[#This Row],[Product ID]],4,3)</f>
        <v>AUG</v>
      </c>
    </row>
    <row r="19" spans="1:10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1" t="str">
        <f>IF(Sales_DB[Price ($)]&gt;=500,"High Price", "Standard Price")</f>
        <v>High Price</v>
      </c>
      <c r="H19" s="40" t="str">
        <f>LEFT(Sales_DB[[#This Row],[Product ID]],2)</f>
        <v>27</v>
      </c>
      <c r="I19" s="42" t="str">
        <f>RIGHT(Sales_DB[[#This Row],[Product ID]],2)</f>
        <v>IT</v>
      </c>
      <c r="J19" s="46" t="str">
        <f>MID(Sales_DB[[#This Row],[Product ID]],4,3)</f>
        <v>JAN</v>
      </c>
    </row>
    <row r="20" spans="1:10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1" t="str">
        <f>IF(Sales_DB[Price ($)]&gt;=500,"High Price", "Standard Price")</f>
        <v>Standard Price</v>
      </c>
      <c r="H20" s="40" t="str">
        <f>LEFT(Sales_DB[[#This Row],[Product ID]],2)</f>
        <v>01</v>
      </c>
      <c r="I20" s="42" t="str">
        <f>RIGHT(Sales_DB[[#This Row],[Product ID]],2)</f>
        <v>UK</v>
      </c>
      <c r="J20" s="46" t="str">
        <f>MID(Sales_DB[[#This Row],[Product ID]],4,3)</f>
        <v>MAR</v>
      </c>
    </row>
    <row r="21" spans="1:10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1" t="str">
        <f>IF(Sales_DB[Price ($)]&gt;=500,"High Price", "Standard Price")</f>
        <v>Standard Price</v>
      </c>
      <c r="H21" s="40" t="str">
        <f>LEFT(Sales_DB[[#This Row],[Product ID]],2)</f>
        <v>14</v>
      </c>
      <c r="I21" s="42" t="str">
        <f>RIGHT(Sales_DB[[#This Row],[Product ID]],2)</f>
        <v>US</v>
      </c>
      <c r="J21" s="46" t="str">
        <f>MID(Sales_DB[[#This Row],[Product ID]],4,3)</f>
        <v>AUG</v>
      </c>
    </row>
    <row r="22" spans="1:10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1" t="str">
        <f>IF(Sales_DB[Price ($)]&gt;=500,"High Price", "Standard Price")</f>
        <v>High Price</v>
      </c>
      <c r="H22" s="40" t="str">
        <f>LEFT(Sales_DB[[#This Row],[Product ID]],2)</f>
        <v>14</v>
      </c>
      <c r="I22" s="42" t="str">
        <f>RIGHT(Sales_DB[[#This Row],[Product ID]],2)</f>
        <v>RU</v>
      </c>
      <c r="J22" s="46" t="str">
        <f>MID(Sales_DB[[#This Row],[Product ID]],4,3)</f>
        <v>MAY</v>
      </c>
    </row>
    <row r="23" spans="1:10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1" t="str">
        <f>IF(Sales_DB[Price ($)]&gt;=500,"High Price", "Standard Price")</f>
        <v>Standard Price</v>
      </c>
      <c r="H23" s="40" t="str">
        <f>LEFT(Sales_DB[[#This Row],[Product ID]],2)</f>
        <v>09</v>
      </c>
      <c r="I23" s="42" t="str">
        <f>RIGHT(Sales_DB[[#This Row],[Product ID]],2)</f>
        <v>CA</v>
      </c>
      <c r="J23" s="46" t="str">
        <f>MID(Sales_DB[[#This Row],[Product ID]],4,3)</f>
        <v>JAN</v>
      </c>
    </row>
    <row r="24" spans="1:10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1" t="str">
        <f>IF(Sales_DB[Price ($)]&gt;=500,"High Price", "Standard Price")</f>
        <v>Standard Price</v>
      </c>
      <c r="H24" s="40" t="str">
        <f>LEFT(Sales_DB[[#This Row],[Product ID]],2)</f>
        <v>19</v>
      </c>
      <c r="I24" s="42" t="str">
        <f>RIGHT(Sales_DB[[#This Row],[Product ID]],2)</f>
        <v>BR</v>
      </c>
      <c r="J24" s="46" t="str">
        <f>MID(Sales_DB[[#This Row],[Product ID]],4,3)</f>
        <v>JUL</v>
      </c>
    </row>
    <row r="25" spans="1:10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32" t="str">
        <f>IF(Sales_DB[Price ($)]&gt;=500,"High Price", "Standard Price")</f>
        <v>Standard Price</v>
      </c>
      <c r="H25" s="40" t="str">
        <f>LEFT(Sales_DB[[#This Row],[Product ID]],2)</f>
        <v>21</v>
      </c>
      <c r="I25" s="42" t="str">
        <f>RIGHT(Sales_DB[[#This Row],[Product ID]],2)</f>
        <v>CA</v>
      </c>
      <c r="J25" s="46" t="str">
        <f>MID(Sales_DB[[#This Row],[Product ID]],4,3)</f>
        <v>AUG</v>
      </c>
    </row>
    <row r="26" spans="1:10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1" t="str">
        <f>IF(Sales_DB[Price ($)]&gt;=500,"High Price", "Standard Price")</f>
        <v>High Price</v>
      </c>
      <c r="H26" s="40" t="str">
        <f>LEFT(Sales_DB[[#This Row],[Product ID]],2)</f>
        <v>29</v>
      </c>
      <c r="I26" s="42" t="str">
        <f>RIGHT(Sales_DB[[#This Row],[Product ID]],2)</f>
        <v>CA</v>
      </c>
      <c r="J26" s="46" t="str">
        <f>MID(Sales_DB[[#This Row],[Product ID]],4,3)</f>
        <v>SEP</v>
      </c>
    </row>
    <row r="27" spans="1:10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1" t="str">
        <f>IF(Sales_DB[Price ($)]&gt;=500,"High Price", "Standard Price")</f>
        <v>Standard Price</v>
      </c>
      <c r="H27" s="40" t="str">
        <f>LEFT(Sales_DB[[#This Row],[Product ID]],2)</f>
        <v>03</v>
      </c>
      <c r="I27" s="42" t="str">
        <f>RIGHT(Sales_DB[[#This Row],[Product ID]],2)</f>
        <v>CA</v>
      </c>
      <c r="J27" s="46" t="str">
        <f>MID(Sales_DB[[#This Row],[Product ID]],4,3)</f>
        <v>JUN</v>
      </c>
    </row>
    <row r="28" spans="1:10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1" t="str">
        <f>IF(Sales_DB[Price ($)]&gt;=500,"High Price", "Standard Price")</f>
        <v>Standard Price</v>
      </c>
      <c r="H28" s="40" t="str">
        <f>LEFT(Sales_DB[[#This Row],[Product ID]],2)</f>
        <v>11</v>
      </c>
      <c r="I28" s="42" t="str">
        <f>RIGHT(Sales_DB[[#This Row],[Product ID]],2)</f>
        <v>CA</v>
      </c>
      <c r="J28" s="46" t="str">
        <f>MID(Sales_DB[[#This Row],[Product ID]],4,3)</f>
        <v>JUL</v>
      </c>
    </row>
    <row r="29" spans="1:10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32" t="str">
        <f>IF(Sales_DB[Price ($)]&gt;=500,"High Price", "Standard Price")</f>
        <v>Standard Price</v>
      </c>
      <c r="H29" s="40" t="str">
        <f>LEFT(Sales_DB[[#This Row],[Product ID]],2)</f>
        <v>16</v>
      </c>
      <c r="I29" s="42" t="str">
        <f>RIGHT(Sales_DB[[#This Row],[Product ID]],2)</f>
        <v>ES</v>
      </c>
      <c r="J29" s="46" t="str">
        <f>MID(Sales_DB[[#This Row],[Product ID]],4,3)</f>
        <v>APR</v>
      </c>
    </row>
    <row r="30" spans="1:10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1" t="str">
        <f>IF(Sales_DB[Price ($)]&gt;=500,"High Price", "Standard Price")</f>
        <v>Standard Price</v>
      </c>
      <c r="H30" s="40" t="str">
        <f>LEFT(Sales_DB[[#This Row],[Product ID]],2)</f>
        <v>07</v>
      </c>
      <c r="I30" s="42" t="str">
        <f>RIGHT(Sales_DB[[#This Row],[Product ID]],2)</f>
        <v>CA</v>
      </c>
      <c r="J30" s="46" t="str">
        <f>MID(Sales_DB[[#This Row],[Product ID]],4,3)</f>
        <v>MAR</v>
      </c>
    </row>
    <row r="31" spans="1:10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1" t="str">
        <f>IF(Sales_DB[Price ($)]&gt;=500,"High Price", "Standard Price")</f>
        <v>Standard Price</v>
      </c>
      <c r="H31" s="40" t="str">
        <f>LEFT(Sales_DB[[#This Row],[Product ID]],2)</f>
        <v>13</v>
      </c>
      <c r="I31" s="42" t="str">
        <f>RIGHT(Sales_DB[[#This Row],[Product ID]],2)</f>
        <v>CA</v>
      </c>
      <c r="J31" s="46" t="str">
        <f>MID(Sales_DB[[#This Row],[Product ID]],4,3)</f>
        <v>APR</v>
      </c>
    </row>
    <row r="32" spans="1:10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1" t="str">
        <f>IF(Sales_DB[Price ($)]&gt;=500,"High Price", "Standard Price")</f>
        <v>Standard Price</v>
      </c>
      <c r="H32" s="40" t="str">
        <f>LEFT(Sales_DB[[#This Row],[Product ID]],2)</f>
        <v>24</v>
      </c>
      <c r="I32" s="42" t="str">
        <f>RIGHT(Sales_DB[[#This Row],[Product ID]],2)</f>
        <v>CA</v>
      </c>
      <c r="J32" s="46" t="str">
        <f>MID(Sales_DB[[#This Row],[Product ID]],4,3)</f>
        <v>MAY</v>
      </c>
    </row>
    <row r="33" spans="1:10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1" t="str">
        <f>IF(Sales_DB[Price ($)]&gt;=500,"High Price", "Standard Price")</f>
        <v>Standard Price</v>
      </c>
      <c r="H33" s="40" t="str">
        <f>LEFT(Sales_DB[[#This Row],[Product ID]],2)</f>
        <v>02</v>
      </c>
      <c r="I33" s="42" t="str">
        <f>RIGHT(Sales_DB[[#This Row],[Product ID]],2)</f>
        <v>CA</v>
      </c>
      <c r="J33" s="46" t="str">
        <f>MID(Sales_DB[[#This Row],[Product ID]],4,3)</f>
        <v>DEC</v>
      </c>
    </row>
    <row r="34" spans="1:10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1" t="str">
        <f>IF(Sales_DB[Price ($)]&gt;=500,"High Price", "Standard Price")</f>
        <v>High Price</v>
      </c>
      <c r="H34" s="40" t="str">
        <f>LEFT(Sales_DB[[#This Row],[Product ID]],2)</f>
        <v>17</v>
      </c>
      <c r="I34" s="42" t="str">
        <f>RIGHT(Sales_DB[[#This Row],[Product ID]],2)</f>
        <v>IN</v>
      </c>
      <c r="J34" s="46" t="str">
        <f>MID(Sales_DB[[#This Row],[Product ID]],4,3)</f>
        <v>JUN</v>
      </c>
    </row>
    <row r="35" spans="1:10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1" t="str">
        <f>IF(Sales_DB[Price ($)]&gt;=500,"High Price", "Standard Price")</f>
        <v>Standard Price</v>
      </c>
      <c r="H35" s="40" t="str">
        <f>LEFT(Sales_DB[[#This Row],[Product ID]],2)</f>
        <v>09</v>
      </c>
      <c r="I35" s="42" t="str">
        <f>RIGHT(Sales_DB[[#This Row],[Product ID]],2)</f>
        <v>FR</v>
      </c>
      <c r="J35" s="46" t="str">
        <f>MID(Sales_DB[[#This Row],[Product ID]],4,3)</f>
        <v>JUL</v>
      </c>
    </row>
    <row r="36" spans="1:10" ht="15.75" customHeight="1" x14ac:dyDescent="0.2">
      <c r="A36" s="32"/>
      <c r="B36" s="32"/>
      <c r="C36" s="32"/>
      <c r="D36" s="32"/>
      <c r="E36" s="32"/>
      <c r="F36" s="32"/>
      <c r="G36" s="36"/>
      <c r="H36" s="32"/>
      <c r="I36" s="43"/>
      <c r="J36" s="43"/>
    </row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topLeftCell="A31" workbookViewId="0">
      <selection activeCell="E43" sqref="E43"/>
    </sheetView>
  </sheetViews>
  <sheetFormatPr defaultColWidth="17" defaultRowHeight="12.75" x14ac:dyDescent="0.2"/>
  <sheetData>
    <row r="1" spans="1:13" ht="27.75" x14ac:dyDescent="0.4">
      <c r="A1" s="9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</row>
    <row r="3" spans="1:13" ht="23.25" x14ac:dyDescent="0.35">
      <c r="A3" s="7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11"/>
      <c r="M3" s="11"/>
    </row>
    <row r="5" spans="1:13" ht="15.75" x14ac:dyDescent="0.25">
      <c r="A5" s="15" t="s">
        <v>95</v>
      </c>
      <c r="B5" s="15"/>
      <c r="C5" s="15"/>
      <c r="D5" s="15"/>
      <c r="E5" s="15"/>
      <c r="F5" s="15"/>
      <c r="G5" s="15"/>
      <c r="H5" s="15"/>
    </row>
    <row r="6" spans="1:13" ht="13.5" thickBot="1" x14ac:dyDescent="0.25"/>
    <row r="7" spans="1:13" x14ac:dyDescent="0.2">
      <c r="A7" s="16" t="s">
        <v>96</v>
      </c>
      <c r="B7" s="17" t="s">
        <v>97</v>
      </c>
      <c r="C7" s="17"/>
      <c r="D7" s="17"/>
      <c r="E7" s="17"/>
      <c r="F7" s="17"/>
      <c r="G7" s="17"/>
      <c r="H7" s="17"/>
      <c r="I7" s="17"/>
      <c r="J7" s="17"/>
      <c r="K7" s="18" t="s">
        <v>98</v>
      </c>
    </row>
    <row r="8" spans="1:13" x14ac:dyDescent="0.2">
      <c r="A8" s="19">
        <v>1</v>
      </c>
      <c r="B8" s="12" t="s">
        <v>99</v>
      </c>
      <c r="C8" s="13"/>
      <c r="D8" s="13"/>
      <c r="E8" s="13"/>
      <c r="F8" s="13"/>
      <c r="G8" s="13"/>
      <c r="H8" s="13"/>
      <c r="I8" s="13"/>
      <c r="J8" s="14"/>
      <c r="K8" s="20">
        <f>SUM(Sales_DB[Price ($)])</f>
        <v>10100</v>
      </c>
    </row>
    <row r="9" spans="1:13" x14ac:dyDescent="0.2">
      <c r="A9" s="19">
        <v>2</v>
      </c>
      <c r="B9" s="12" t="s">
        <v>101</v>
      </c>
      <c r="C9" s="13"/>
      <c r="D9" s="13"/>
      <c r="E9" s="13"/>
      <c r="F9" s="13"/>
      <c r="G9" s="13"/>
      <c r="H9" s="13"/>
      <c r="I9" s="13"/>
      <c r="J9" s="14"/>
      <c r="K9" s="20">
        <f>COUNTA(Sales_DB[Product ID])</f>
        <v>34</v>
      </c>
    </row>
    <row r="10" spans="1:13" ht="13.5" thickBot="1" x14ac:dyDescent="0.25">
      <c r="A10" s="21">
        <v>3</v>
      </c>
      <c r="B10" s="22" t="s">
        <v>102</v>
      </c>
      <c r="C10" s="23"/>
      <c r="D10" s="23"/>
      <c r="E10" s="23"/>
      <c r="F10" s="23"/>
      <c r="G10" s="23"/>
      <c r="H10" s="23"/>
      <c r="I10" s="23"/>
      <c r="J10" s="24"/>
      <c r="K10" s="25">
        <f>AVERAGE(Sales_DB[Price ($)])</f>
        <v>297.05882352941177</v>
      </c>
    </row>
    <row r="12" spans="1:13" ht="23.25" x14ac:dyDescent="0.35">
      <c r="A12" s="7" t="s">
        <v>105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11"/>
      <c r="M12" s="11"/>
    </row>
    <row r="14" spans="1:13" ht="15.75" x14ac:dyDescent="0.25">
      <c r="A14" s="15" t="s">
        <v>100</v>
      </c>
      <c r="B14" s="15"/>
      <c r="C14" s="15"/>
      <c r="D14" s="15"/>
      <c r="E14" s="15"/>
      <c r="F14" s="15"/>
      <c r="G14" s="15"/>
      <c r="H14" s="15"/>
    </row>
    <row r="15" spans="1:13" ht="13.5" thickBot="1" x14ac:dyDescent="0.25"/>
    <row r="16" spans="1:13" x14ac:dyDescent="0.2">
      <c r="A16" s="16" t="s">
        <v>96</v>
      </c>
      <c r="B16" s="17" t="s">
        <v>97</v>
      </c>
      <c r="C16" s="17"/>
      <c r="D16" s="17"/>
      <c r="E16" s="17"/>
      <c r="F16" s="17"/>
      <c r="G16" s="17"/>
      <c r="H16" s="17"/>
      <c r="I16" s="17"/>
      <c r="J16" s="17"/>
      <c r="K16" s="18" t="s">
        <v>98</v>
      </c>
    </row>
    <row r="17" spans="1:11" x14ac:dyDescent="0.2">
      <c r="A17" s="19">
        <v>1</v>
      </c>
      <c r="B17" s="12" t="s">
        <v>103</v>
      </c>
      <c r="C17" s="13"/>
      <c r="D17" s="13"/>
      <c r="E17" s="13"/>
      <c r="F17" s="13"/>
      <c r="G17" s="13"/>
      <c r="H17" s="13"/>
      <c r="I17" s="13"/>
      <c r="J17" s="14"/>
      <c r="K17" s="20">
        <f>MIN(Sales_DB[Price ($)])</f>
        <v>30</v>
      </c>
    </row>
    <row r="18" spans="1:11" ht="13.5" thickBot="1" x14ac:dyDescent="0.25">
      <c r="A18" s="21">
        <v>2</v>
      </c>
      <c r="B18" s="22" t="s">
        <v>104</v>
      </c>
      <c r="C18" s="23"/>
      <c r="D18" s="23"/>
      <c r="E18" s="23"/>
      <c r="F18" s="23"/>
      <c r="G18" s="23"/>
      <c r="H18" s="23"/>
      <c r="I18" s="23"/>
      <c r="J18" s="24"/>
      <c r="K18" s="25">
        <f>MAX(Sales_DB[Price ($)])</f>
        <v>1000</v>
      </c>
    </row>
    <row r="20" spans="1:11" ht="23.25" x14ac:dyDescent="0.35">
      <c r="A20" s="7" t="s">
        <v>106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23.25" x14ac:dyDescent="0.3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x14ac:dyDescent="0.2">
      <c r="A22" s="8" t="s">
        <v>97</v>
      </c>
    </row>
    <row r="23" spans="1:11" x14ac:dyDescent="0.2">
      <c r="A23" s="26" t="s">
        <v>107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x14ac:dyDescent="0.2">
      <c r="A24" s="26" t="s">
        <v>108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x14ac:dyDescent="0.2">
      <c r="B25" s="26" t="s">
        <v>109</v>
      </c>
      <c r="C25" s="26"/>
      <c r="D25" s="26"/>
      <c r="E25" s="26"/>
      <c r="F25" s="26"/>
      <c r="G25" s="26"/>
      <c r="H25" s="26"/>
      <c r="I25" s="26"/>
      <c r="J25" s="26"/>
      <c r="K25" s="26"/>
    </row>
    <row r="26" spans="1:11" x14ac:dyDescent="0.2">
      <c r="B26" s="26" t="s">
        <v>110</v>
      </c>
      <c r="C26" s="26"/>
      <c r="D26" s="26"/>
      <c r="E26" s="26"/>
      <c r="F26" s="26"/>
      <c r="G26" s="26"/>
      <c r="H26" s="26"/>
      <c r="I26" s="26"/>
      <c r="J26" s="26"/>
      <c r="K26" s="26"/>
    </row>
    <row r="28" spans="1:11" x14ac:dyDescent="0.2">
      <c r="A28" s="28" t="s">
        <v>98</v>
      </c>
    </row>
    <row r="29" spans="1:11" x14ac:dyDescent="0.2">
      <c r="A29" s="29" t="s">
        <v>111</v>
      </c>
      <c r="B29" s="30" t="s">
        <v>122</v>
      </c>
    </row>
    <row r="31" spans="1:11" ht="23.25" x14ac:dyDescent="0.35">
      <c r="A31" s="7" t="s">
        <v>112</v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3" spans="1:11" ht="15.75" x14ac:dyDescent="0.25">
      <c r="A33" s="15" t="s">
        <v>113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3.5" thickBot="1" x14ac:dyDescent="0.25"/>
    <row r="35" spans="1:11" x14ac:dyDescent="0.2">
      <c r="A35" s="16" t="s">
        <v>96</v>
      </c>
      <c r="B35" s="17" t="s">
        <v>97</v>
      </c>
      <c r="C35" s="17"/>
      <c r="D35" s="17"/>
      <c r="E35" s="17"/>
      <c r="F35" s="17"/>
      <c r="G35" s="17"/>
      <c r="H35" s="17"/>
      <c r="I35" s="17"/>
      <c r="J35" s="17"/>
      <c r="K35" s="18" t="s">
        <v>98</v>
      </c>
    </row>
    <row r="36" spans="1:11" x14ac:dyDescent="0.2">
      <c r="A36" s="19">
        <v>1</v>
      </c>
      <c r="B36" s="12" t="s">
        <v>114</v>
      </c>
      <c r="C36" s="13"/>
      <c r="D36" s="13"/>
      <c r="E36" s="13"/>
      <c r="F36" s="13"/>
      <c r="G36" s="13"/>
      <c r="H36" s="13"/>
      <c r="I36" s="13"/>
      <c r="J36" s="14"/>
      <c r="K36" s="20">
        <f>SUMIF(Sales_DB[Category], "Electronics", Sales_DB[Price ($)])</f>
        <v>8050</v>
      </c>
    </row>
    <row r="37" spans="1:11" ht="13.5" thickBot="1" x14ac:dyDescent="0.25">
      <c r="A37" s="21">
        <v>2</v>
      </c>
      <c r="B37" s="22" t="s">
        <v>115</v>
      </c>
      <c r="C37" s="23"/>
      <c r="D37" s="23"/>
      <c r="E37" s="23"/>
      <c r="F37" s="23"/>
      <c r="G37" s="23"/>
      <c r="H37" s="23"/>
      <c r="I37" s="23"/>
      <c r="J37" s="24"/>
      <c r="K37" s="25">
        <f>COUNTIF(Sales_DB[Price ($)],"&lt;100")</f>
        <v>11</v>
      </c>
    </row>
    <row r="39" spans="1:11" ht="23.25" x14ac:dyDescent="0.35">
      <c r="A39" s="7" t="s">
        <v>116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1" spans="1:11" ht="15.75" x14ac:dyDescent="0.25">
      <c r="A41" s="15" t="s">
        <v>117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5.75" x14ac:dyDescent="0.25">
      <c r="A42" s="15" t="s">
        <v>118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3.5" thickBot="1" x14ac:dyDescent="0.25"/>
    <row r="44" spans="1:11" x14ac:dyDescent="0.2">
      <c r="A44" s="16" t="s">
        <v>96</v>
      </c>
      <c r="B44" s="17" t="s">
        <v>97</v>
      </c>
      <c r="C44" s="17"/>
      <c r="D44" s="17"/>
      <c r="E44" s="17"/>
      <c r="F44" s="17"/>
      <c r="G44" s="17"/>
      <c r="H44" s="17"/>
      <c r="I44" s="17"/>
      <c r="J44" s="17"/>
      <c r="K44" s="18" t="s">
        <v>98</v>
      </c>
    </row>
    <row r="45" spans="1:11" ht="25.5" customHeight="1" x14ac:dyDescent="0.2">
      <c r="A45" s="19">
        <v>1</v>
      </c>
      <c r="B45" s="12" t="s">
        <v>119</v>
      </c>
      <c r="C45" s="13"/>
      <c r="D45" s="13"/>
      <c r="E45" s="13"/>
      <c r="F45" s="13"/>
      <c r="G45" s="13"/>
      <c r="H45" s="13"/>
      <c r="I45" s="13"/>
      <c r="J45" s="14"/>
      <c r="K45" s="39" t="s">
        <v>123</v>
      </c>
    </row>
    <row r="46" spans="1:11" ht="39" thickBot="1" x14ac:dyDescent="0.25">
      <c r="A46" s="21">
        <v>2</v>
      </c>
      <c r="B46" s="22" t="s">
        <v>120</v>
      </c>
      <c r="C46" s="23"/>
      <c r="D46" s="23"/>
      <c r="E46" s="23"/>
      <c r="F46" s="23"/>
      <c r="G46" s="23"/>
      <c r="H46" s="23"/>
      <c r="I46" s="23"/>
      <c r="J46" s="24"/>
      <c r="K46" s="39" t="s">
        <v>123</v>
      </c>
    </row>
    <row r="47" spans="1:11" ht="39" thickBot="1" x14ac:dyDescent="0.25">
      <c r="A47" s="37">
        <v>3</v>
      </c>
      <c r="B47" s="38" t="s">
        <v>121</v>
      </c>
      <c r="C47" s="38"/>
      <c r="D47" s="38"/>
      <c r="E47" s="38"/>
      <c r="F47" s="38"/>
      <c r="G47" s="38"/>
      <c r="H47" s="38"/>
      <c r="I47" s="38"/>
      <c r="J47" s="38"/>
      <c r="K47" s="39" t="s">
        <v>123</v>
      </c>
    </row>
  </sheetData>
  <mergeCells count="29">
    <mergeCell ref="B45:J45"/>
    <mergeCell ref="B46:J46"/>
    <mergeCell ref="B47:J47"/>
    <mergeCell ref="B36:J36"/>
    <mergeCell ref="B37:J37"/>
    <mergeCell ref="A39:K39"/>
    <mergeCell ref="A41:K41"/>
    <mergeCell ref="A42:K42"/>
    <mergeCell ref="B44:J44"/>
    <mergeCell ref="B25:K25"/>
    <mergeCell ref="B26:K26"/>
    <mergeCell ref="A31:K31"/>
    <mergeCell ref="A33:K33"/>
    <mergeCell ref="B35:J35"/>
    <mergeCell ref="B17:J17"/>
    <mergeCell ref="B18:J18"/>
    <mergeCell ref="A20:K20"/>
    <mergeCell ref="A23:K23"/>
    <mergeCell ref="A24:K24"/>
    <mergeCell ref="A14:H14"/>
    <mergeCell ref="B16:J16"/>
    <mergeCell ref="A1:K1"/>
    <mergeCell ref="A3:K3"/>
    <mergeCell ref="A12:K12"/>
    <mergeCell ref="B8:J8"/>
    <mergeCell ref="B9:J9"/>
    <mergeCell ref="B10:J10"/>
    <mergeCell ref="A5:H5"/>
    <mergeCell ref="B7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Copy_of_Dataset</vt:lpstr>
      <vt:lpstr>Assignment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vicky</cp:lastModifiedBy>
  <dcterms:modified xsi:type="dcterms:W3CDTF">2026-10-23T09:26:15Z</dcterms:modified>
</cp:coreProperties>
</file>